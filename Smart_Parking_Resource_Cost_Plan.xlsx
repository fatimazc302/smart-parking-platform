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fatimachaudhry/Downloads/"/>
    </mc:Choice>
  </mc:AlternateContent>
  <xr:revisionPtr revIDLastSave="0" documentId="8_{50A2A0C3-F5FE-AD49-A7A9-09AAD6144656}" xr6:coauthVersionLast="47" xr6:coauthVersionMax="47" xr10:uidLastSave="{00000000-0000-0000-0000-000000000000}"/>
  <bookViews>
    <workbookView xWindow="0" yWindow="500" windowWidth="17840" windowHeight="11060" tabRatio="500" xr2:uid="{00000000-000D-0000-FFFF-FFFF00000000}"/>
  </bookViews>
  <sheets>
    <sheet name="Resource Plan" sheetId="1" r:id="rId1"/>
    <sheet name="Cost Plan" sheetId="2" r:id="rId2"/>
    <sheet name="Cashflow (Monthly)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3" l="1"/>
  <c r="C20" i="3"/>
  <c r="B20" i="3"/>
  <c r="C19" i="3"/>
  <c r="B19" i="3"/>
  <c r="C18" i="3"/>
  <c r="B18" i="3"/>
  <c r="D17" i="3"/>
  <c r="C17" i="3"/>
  <c r="C21" i="3" s="1"/>
  <c r="B17" i="3"/>
  <c r="G6" i="3"/>
  <c r="B6" i="3"/>
  <c r="G5" i="3"/>
  <c r="B5" i="3"/>
  <c r="G4" i="3"/>
  <c r="B4" i="3"/>
  <c r="G3" i="3"/>
  <c r="B3" i="3"/>
  <c r="F9" i="2"/>
  <c r="F8" i="2"/>
  <c r="F7" i="2"/>
  <c r="F6" i="2"/>
  <c r="F5" i="2"/>
  <c r="F4" i="2"/>
  <c r="F3" i="2"/>
  <c r="F2" i="2"/>
  <c r="F10" i="2" s="1"/>
  <c r="E6" i="1"/>
  <c r="G5" i="1"/>
  <c r="D5" i="1"/>
  <c r="G4" i="1"/>
  <c r="D4" i="1"/>
  <c r="G3" i="1"/>
  <c r="D3" i="1"/>
  <c r="G2" i="1"/>
  <c r="G6" i="1" s="1"/>
  <c r="D2" i="1"/>
  <c r="F12" i="2" l="1"/>
  <c r="F13" i="2" s="1"/>
  <c r="F17" i="3"/>
  <c r="E18" i="3"/>
  <c r="F18" i="3" s="1"/>
  <c r="E20" i="3"/>
  <c r="F20" i="3" s="1"/>
  <c r="B21" i="3"/>
  <c r="E17" i="3"/>
  <c r="E19" i="3"/>
  <c r="F19" i="3" s="1"/>
  <c r="F21" i="3" l="1"/>
  <c r="E21" i="3"/>
</calcChain>
</file>

<file path=xl/sharedStrings.xml><?xml version="1.0" encoding="utf-8"?>
<sst xmlns="http://schemas.openxmlformats.org/spreadsheetml/2006/main" count="96" uniqueCount="74">
  <si>
    <t>Role</t>
  </si>
  <si>
    <t>Name</t>
  </si>
  <si>
    <t>Skill Level</t>
  </si>
  <si>
    <t>FTE %</t>
  </si>
  <si>
    <t>Total Hours</t>
  </si>
  <si>
    <t>Hourly Rate ($)</t>
  </si>
  <si>
    <t>Total Cost ($)</t>
  </si>
  <si>
    <t>Project Manager</t>
  </si>
  <si>
    <t>Morgan Reyes</t>
  </si>
  <si>
    <t>Mid-level, generalist PM</t>
  </si>
  <si>
    <t>Backend Lead</t>
  </si>
  <si>
    <t>Priya Nair</t>
  </si>
  <si>
    <t>Senior backend engineer</t>
  </si>
  <si>
    <t>Mobile Lead</t>
  </si>
  <si>
    <t>Jason Cole</t>
  </si>
  <si>
    <t>Mid-to-senior mobile engineer</t>
  </si>
  <si>
    <t>QA Lead</t>
  </si>
  <si>
    <t>Sam Okafor</t>
  </si>
  <si>
    <t>Mid-level QA engineer</t>
  </si>
  <si>
    <t>TOTAL</t>
  </si>
  <si>
    <t>Assumption:</t>
  </si>
  <si>
    <t>Standard full-time hours/month used for FTE %:</t>
  </si>
  <si>
    <t>Project duration: 4 months (Sep-Dec 2026), matching the Section 6 project schedule. Hours and rates are planning assumptions for Release 1.0, not actuals.</t>
  </si>
  <si>
    <t>Item</t>
  </si>
  <si>
    <t>Category</t>
  </si>
  <si>
    <t>Qty / Months</t>
  </si>
  <si>
    <t>Unit Cost ($)</t>
  </si>
  <si>
    <t>Duration (months)</t>
  </si>
  <si>
    <t>Total ($)</t>
  </si>
  <si>
    <t>Notes</t>
  </si>
  <si>
    <t>Project Manager labor</t>
  </si>
  <si>
    <t>Labor</t>
  </si>
  <si>
    <t>—</t>
  </si>
  <si>
    <t>Morgan Reyes, 160 hrs over 4 months</t>
  </si>
  <si>
    <t>Backend Lead labor</t>
  </si>
  <si>
    <t>Priya Nair, 300 hrs over 4 months</t>
  </si>
  <si>
    <t>Mobile Lead labor</t>
  </si>
  <si>
    <t>Jason Cole, 300 hrs over 4 months</t>
  </si>
  <si>
    <t>QA Lead labor</t>
  </si>
  <si>
    <t>Sam Okafor, ramps up for UAT in Nov-Dec</t>
  </si>
  <si>
    <t>Cloud hosting</t>
  </si>
  <si>
    <t>Infrastructure</t>
  </si>
  <si>
    <t>Backend + telemetry ingestion hosting</t>
  </si>
  <si>
    <t>Third-party APIs</t>
  </si>
  <si>
    <t>Mapping, payment gateway, SMS verification</t>
  </si>
  <si>
    <t>Licenses &amp; dev tools</t>
  </si>
  <si>
    <t>Licenses</t>
  </si>
  <si>
    <t>N/A</t>
  </si>
  <si>
    <t>IDE and developer tooling, one-off</t>
  </si>
  <si>
    <t>Hardware / sensor prototyping</t>
  </si>
  <si>
    <t>Hardware</t>
  </si>
  <si>
    <t>Magnetic sensor + gateway prototypes, one-off</t>
  </si>
  <si>
    <t>Subtotal</t>
  </si>
  <si>
    <t>Contingency rate</t>
  </si>
  <si>
    <t>10% of subtotal, sized for a moderate-uncertainty indie project</t>
  </si>
  <si>
    <t>Contingency</t>
  </si>
  <si>
    <t>GRAND TOTAL</t>
  </si>
  <si>
    <t>Monthly Hours by Role</t>
  </si>
  <si>
    <t>Sep-26</t>
  </si>
  <si>
    <t>Oct-26</t>
  </si>
  <si>
    <t>Nov-26</t>
  </si>
  <si>
    <t>Dec-26</t>
  </si>
  <si>
    <t>Monthly Infrastructure &amp; One-Off Assumptions</t>
  </si>
  <si>
    <t>Cloud hosting ($/month)</t>
  </si>
  <si>
    <t>Third-party APIs ($/month)</t>
  </si>
  <si>
    <t>Licenses &amp; dev tools (one-off, Sep)</t>
  </si>
  <si>
    <t>Hardware / sensor prototyping (one-off, Sep)</t>
  </si>
  <si>
    <t>Monthly Cashflow</t>
  </si>
  <si>
    <t>Month</t>
  </si>
  <si>
    <t>Labor ($)</t>
  </si>
  <si>
    <t>Infrastructure ($)</t>
  </si>
  <si>
    <t>One-Off Costs ($)</t>
  </si>
  <si>
    <t>Contingency ($)</t>
  </si>
  <si>
    <t>Note: Backend Lead hours taper and QA Lead hours ramp up in Nov-Dec to match the QA/UAT phase of the Section 6 schedule. Totals here tie to the Cost Plan grand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</si>
</sst>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i/>
      <sz val="9"/>
      <color rgb="FF595959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5" fillId="3" borderId="1" xfId="0" applyFont="1" applyFill="1" applyBorder="1"/>
    <xf numFmtId="3" fontId="5" fillId="3" borderId="1" xfId="0" applyNumberFormat="1" applyFont="1" applyFill="1" applyBorder="1"/>
    <xf numFmtId="165" fontId="5" fillId="3" borderId="1" xfId="0" applyNumberFormat="1" applyFont="1" applyFill="1" applyBorder="1"/>
    <xf numFmtId="0" fontId="6" fillId="0" borderId="0" xfId="0" applyFont="1"/>
    <xf numFmtId="0" fontId="7" fillId="0" borderId="0" xfId="0" applyFont="1"/>
    <xf numFmtId="3" fontId="4" fillId="0" borderId="0" xfId="0" applyNumberFormat="1" applyFont="1"/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65" fontId="3" fillId="0" borderId="1" xfId="0" applyNumberFormat="1" applyFont="1" applyBorder="1"/>
    <xf numFmtId="0" fontId="8" fillId="0" borderId="0" xfId="0" applyFont="1"/>
    <xf numFmtId="0" fontId="3" fillId="0" borderId="1" xfId="0" applyFont="1" applyBorder="1" applyAlignment="1">
      <alignment horizontal="center"/>
    </xf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8" customWidth="1"/>
    <col min="2" max="2" width="16" customWidth="1"/>
    <col min="3" max="3" width="28" customWidth="1"/>
    <col min="4" max="4" width="10" customWidth="1"/>
    <col min="5" max="5" width="14" customWidth="1"/>
    <col min="6" max="7" width="1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3">
        <f>E2/($E$8*4)</f>
        <v>0.25</v>
      </c>
      <c r="E2" s="4">
        <v>160</v>
      </c>
      <c r="F2" s="5">
        <v>45</v>
      </c>
      <c r="G2" s="6">
        <f>E2*F2</f>
        <v>7200</v>
      </c>
    </row>
    <row r="3" spans="1:7" x14ac:dyDescent="0.2">
      <c r="A3" s="2" t="s">
        <v>10</v>
      </c>
      <c r="B3" s="2" t="s">
        <v>11</v>
      </c>
      <c r="C3" s="2" t="s">
        <v>12</v>
      </c>
      <c r="D3" s="3">
        <f>E3/($E$8*4)</f>
        <v>0.46875</v>
      </c>
      <c r="E3" s="4">
        <v>300</v>
      </c>
      <c r="F3" s="5">
        <v>55</v>
      </c>
      <c r="G3" s="6">
        <f>E3*F3</f>
        <v>16500</v>
      </c>
    </row>
    <row r="4" spans="1:7" x14ac:dyDescent="0.2">
      <c r="A4" s="2" t="s">
        <v>13</v>
      </c>
      <c r="B4" s="2" t="s">
        <v>14</v>
      </c>
      <c r="C4" s="2" t="s">
        <v>15</v>
      </c>
      <c r="D4" s="3">
        <f>E4/($E$8*4)</f>
        <v>0.46875</v>
      </c>
      <c r="E4" s="4">
        <v>300</v>
      </c>
      <c r="F4" s="5">
        <v>50</v>
      </c>
      <c r="G4" s="6">
        <f>E4*F4</f>
        <v>15000</v>
      </c>
    </row>
    <row r="5" spans="1:7" x14ac:dyDescent="0.2">
      <c r="A5" s="2" t="s">
        <v>16</v>
      </c>
      <c r="B5" s="2" t="s">
        <v>17</v>
      </c>
      <c r="C5" s="2" t="s">
        <v>18</v>
      </c>
      <c r="D5" s="3">
        <f>E5/($E$8*4)</f>
        <v>0.34375</v>
      </c>
      <c r="E5" s="4">
        <v>220</v>
      </c>
      <c r="F5" s="5">
        <v>35</v>
      </c>
      <c r="G5" s="6">
        <f>E5*F5</f>
        <v>7700</v>
      </c>
    </row>
    <row r="6" spans="1:7" x14ac:dyDescent="0.2">
      <c r="A6" s="7" t="s">
        <v>19</v>
      </c>
      <c r="B6" s="7"/>
      <c r="C6" s="7"/>
      <c r="D6" s="7"/>
      <c r="E6" s="8">
        <f>SUM(E2:E5)</f>
        <v>980</v>
      </c>
      <c r="F6" s="7"/>
      <c r="G6" s="9">
        <f>SUM(G2:G5)</f>
        <v>46400</v>
      </c>
    </row>
    <row r="8" spans="1:7" x14ac:dyDescent="0.2">
      <c r="A8" s="10" t="s">
        <v>20</v>
      </c>
      <c r="B8" s="11" t="s">
        <v>21</v>
      </c>
      <c r="E8" s="12">
        <v>160</v>
      </c>
    </row>
    <row r="9" spans="1:7" x14ac:dyDescent="0.2">
      <c r="B9" s="11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13" customWidth="1"/>
    <col min="4" max="4" width="14" customWidth="1"/>
    <col min="5" max="5" width="16" customWidth="1"/>
    <col min="6" max="6" width="14" customWidth="1"/>
    <col min="7" max="7" width="40" customWidth="1"/>
  </cols>
  <sheetData>
    <row r="1" spans="1:7" ht="30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">
      <c r="A2" s="2" t="s">
        <v>30</v>
      </c>
      <c r="B2" s="2" t="s">
        <v>31</v>
      </c>
      <c r="C2" s="13">
        <v>160</v>
      </c>
      <c r="D2" s="5">
        <v>45</v>
      </c>
      <c r="E2" s="13" t="s">
        <v>32</v>
      </c>
      <c r="F2" s="6">
        <f t="shared" ref="F2:F9" si="0">C2*D2</f>
        <v>7200</v>
      </c>
      <c r="G2" s="14" t="s">
        <v>33</v>
      </c>
    </row>
    <row r="3" spans="1:7" x14ac:dyDescent="0.2">
      <c r="A3" s="2" t="s">
        <v>34</v>
      </c>
      <c r="B3" s="2" t="s">
        <v>31</v>
      </c>
      <c r="C3" s="13">
        <v>300</v>
      </c>
      <c r="D3" s="5">
        <v>55</v>
      </c>
      <c r="E3" s="13" t="s">
        <v>32</v>
      </c>
      <c r="F3" s="6">
        <f t="shared" si="0"/>
        <v>16500</v>
      </c>
      <c r="G3" s="14" t="s">
        <v>35</v>
      </c>
    </row>
    <row r="4" spans="1:7" x14ac:dyDescent="0.2">
      <c r="A4" s="2" t="s">
        <v>36</v>
      </c>
      <c r="B4" s="2" t="s">
        <v>31</v>
      </c>
      <c r="C4" s="13">
        <v>300</v>
      </c>
      <c r="D4" s="5">
        <v>50</v>
      </c>
      <c r="E4" s="13" t="s">
        <v>32</v>
      </c>
      <c r="F4" s="6">
        <f t="shared" si="0"/>
        <v>15000</v>
      </c>
      <c r="G4" s="14" t="s">
        <v>37</v>
      </c>
    </row>
    <row r="5" spans="1:7" x14ac:dyDescent="0.2">
      <c r="A5" s="2" t="s">
        <v>38</v>
      </c>
      <c r="B5" s="2" t="s">
        <v>31</v>
      </c>
      <c r="C5" s="13">
        <v>220</v>
      </c>
      <c r="D5" s="5">
        <v>35</v>
      </c>
      <c r="E5" s="13" t="s">
        <v>32</v>
      </c>
      <c r="F5" s="6">
        <f t="shared" si="0"/>
        <v>7700</v>
      </c>
      <c r="G5" s="14" t="s">
        <v>39</v>
      </c>
    </row>
    <row r="6" spans="1:7" x14ac:dyDescent="0.2">
      <c r="A6" s="2" t="s">
        <v>40</v>
      </c>
      <c r="B6" s="2" t="s">
        <v>41</v>
      </c>
      <c r="C6" s="13">
        <v>4</v>
      </c>
      <c r="D6" s="5">
        <v>250</v>
      </c>
      <c r="E6" s="13">
        <v>4</v>
      </c>
      <c r="F6" s="6">
        <f t="shared" si="0"/>
        <v>1000</v>
      </c>
      <c r="G6" s="14" t="s">
        <v>42</v>
      </c>
    </row>
    <row r="7" spans="1:7" x14ac:dyDescent="0.2">
      <c r="A7" s="2" t="s">
        <v>43</v>
      </c>
      <c r="B7" s="2" t="s">
        <v>41</v>
      </c>
      <c r="C7" s="13">
        <v>4</v>
      </c>
      <c r="D7" s="5">
        <v>150</v>
      </c>
      <c r="E7" s="13">
        <v>4</v>
      </c>
      <c r="F7" s="6">
        <f t="shared" si="0"/>
        <v>600</v>
      </c>
      <c r="G7" s="14" t="s">
        <v>44</v>
      </c>
    </row>
    <row r="8" spans="1:7" x14ac:dyDescent="0.2">
      <c r="A8" s="2" t="s">
        <v>45</v>
      </c>
      <c r="B8" s="2" t="s">
        <v>46</v>
      </c>
      <c r="C8" s="13">
        <v>1</v>
      </c>
      <c r="D8" s="5">
        <v>400</v>
      </c>
      <c r="E8" s="13" t="s">
        <v>47</v>
      </c>
      <c r="F8" s="6">
        <f t="shared" si="0"/>
        <v>400</v>
      </c>
      <c r="G8" s="14" t="s">
        <v>48</v>
      </c>
    </row>
    <row r="9" spans="1:7" x14ac:dyDescent="0.2">
      <c r="A9" s="2" t="s">
        <v>49</v>
      </c>
      <c r="B9" s="2" t="s">
        <v>50</v>
      </c>
      <c r="C9" s="13">
        <v>1</v>
      </c>
      <c r="D9" s="5">
        <v>500</v>
      </c>
      <c r="E9" s="13" t="s">
        <v>47</v>
      </c>
      <c r="F9" s="6">
        <f t="shared" si="0"/>
        <v>500</v>
      </c>
      <c r="G9" s="14" t="s">
        <v>51</v>
      </c>
    </row>
    <row r="10" spans="1:7" x14ac:dyDescent="0.2">
      <c r="A10" s="7" t="s">
        <v>52</v>
      </c>
      <c r="B10" s="7"/>
      <c r="C10" s="7"/>
      <c r="D10" s="7"/>
      <c r="E10" s="7"/>
      <c r="F10" s="9">
        <f>SUM(F2:F9)</f>
        <v>48900</v>
      </c>
      <c r="G10" s="7"/>
    </row>
    <row r="11" spans="1:7" x14ac:dyDescent="0.2">
      <c r="A11" s="15" t="s">
        <v>53</v>
      </c>
      <c r="B11" s="15"/>
      <c r="C11" s="16">
        <v>0.1</v>
      </c>
      <c r="D11" s="15"/>
      <c r="E11" s="15"/>
      <c r="F11" s="15"/>
      <c r="G11" s="14" t="s">
        <v>54</v>
      </c>
    </row>
    <row r="12" spans="1:7" x14ac:dyDescent="0.2">
      <c r="A12" s="15" t="s">
        <v>55</v>
      </c>
      <c r="B12" s="15"/>
      <c r="C12" s="15"/>
      <c r="D12" s="15"/>
      <c r="E12" s="15"/>
      <c r="F12" s="17">
        <f>F10*C11</f>
        <v>4890</v>
      </c>
      <c r="G12" s="15"/>
    </row>
    <row r="13" spans="1:7" x14ac:dyDescent="0.2">
      <c r="A13" s="7" t="s">
        <v>56</v>
      </c>
      <c r="B13" s="7"/>
      <c r="C13" s="7"/>
      <c r="D13" s="7"/>
      <c r="E13" s="7"/>
      <c r="F13" s="9">
        <f>F10+F12</f>
        <v>53790</v>
      </c>
      <c r="G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4" width="14" customWidth="1"/>
    <col min="5" max="5" width="15" customWidth="1"/>
    <col min="6" max="6" width="14" customWidth="1"/>
  </cols>
  <sheetData>
    <row r="1" spans="1:7" x14ac:dyDescent="0.2">
      <c r="A1" s="18" t="s">
        <v>57</v>
      </c>
    </row>
    <row r="2" spans="1:7" ht="30" x14ac:dyDescent="0.2">
      <c r="A2" s="1" t="s">
        <v>0</v>
      </c>
      <c r="B2" s="1" t="s">
        <v>5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4</v>
      </c>
    </row>
    <row r="3" spans="1:7" x14ac:dyDescent="0.2">
      <c r="A3" s="2" t="s">
        <v>7</v>
      </c>
      <c r="B3" s="6">
        <f>'Resource Plan'!F2</f>
        <v>45</v>
      </c>
      <c r="C3" s="13">
        <v>40</v>
      </c>
      <c r="D3" s="13">
        <v>40</v>
      </c>
      <c r="E3" s="13">
        <v>40</v>
      </c>
      <c r="F3" s="13">
        <v>40</v>
      </c>
      <c r="G3" s="19">
        <f>SUM(C3:F3)</f>
        <v>160</v>
      </c>
    </row>
    <row r="4" spans="1:7" x14ac:dyDescent="0.2">
      <c r="A4" s="2" t="s">
        <v>10</v>
      </c>
      <c r="B4" s="6">
        <f>'Resource Plan'!F3</f>
        <v>55</v>
      </c>
      <c r="C4" s="13">
        <v>100</v>
      </c>
      <c r="D4" s="13">
        <v>90</v>
      </c>
      <c r="E4" s="13">
        <v>70</v>
      </c>
      <c r="F4" s="13">
        <v>40</v>
      </c>
      <c r="G4" s="19">
        <f>SUM(C4:F4)</f>
        <v>300</v>
      </c>
    </row>
    <row r="5" spans="1:7" x14ac:dyDescent="0.2">
      <c r="A5" s="2" t="s">
        <v>13</v>
      </c>
      <c r="B5" s="6">
        <f>'Resource Plan'!F4</f>
        <v>50</v>
      </c>
      <c r="C5" s="13">
        <v>60</v>
      </c>
      <c r="D5" s="13">
        <v>100</v>
      </c>
      <c r="E5" s="13">
        <v>90</v>
      </c>
      <c r="F5" s="13">
        <v>50</v>
      </c>
      <c r="G5" s="19">
        <f>SUM(C5:F5)</f>
        <v>300</v>
      </c>
    </row>
    <row r="6" spans="1:7" x14ac:dyDescent="0.2">
      <c r="A6" s="2" t="s">
        <v>16</v>
      </c>
      <c r="B6" s="6">
        <f>'Resource Plan'!F5</f>
        <v>35</v>
      </c>
      <c r="C6" s="13">
        <v>20</v>
      </c>
      <c r="D6" s="13">
        <v>30</v>
      </c>
      <c r="E6" s="13">
        <v>70</v>
      </c>
      <c r="F6" s="13">
        <v>100</v>
      </c>
      <c r="G6" s="19">
        <f>SUM(C6:F6)</f>
        <v>220</v>
      </c>
    </row>
    <row r="8" spans="1:7" x14ac:dyDescent="0.2">
      <c r="A8" s="18" t="s">
        <v>62</v>
      </c>
    </row>
    <row r="9" spans="1:7" x14ac:dyDescent="0.2">
      <c r="A9" s="2" t="s">
        <v>63</v>
      </c>
      <c r="B9" s="20">
        <v>250</v>
      </c>
    </row>
    <row r="10" spans="1:7" x14ac:dyDescent="0.2">
      <c r="A10" s="2" t="s">
        <v>64</v>
      </c>
      <c r="B10" s="20">
        <v>150</v>
      </c>
    </row>
    <row r="11" spans="1:7" x14ac:dyDescent="0.2">
      <c r="A11" s="2" t="s">
        <v>65</v>
      </c>
      <c r="B11" s="20">
        <v>400</v>
      </c>
    </row>
    <row r="12" spans="1:7" x14ac:dyDescent="0.2">
      <c r="A12" s="2" t="s">
        <v>66</v>
      </c>
      <c r="B12" s="20">
        <v>500</v>
      </c>
    </row>
    <row r="13" spans="1:7" x14ac:dyDescent="0.2">
      <c r="A13" s="2" t="s">
        <v>53</v>
      </c>
      <c r="B13" s="16">
        <v>0.1</v>
      </c>
    </row>
    <row r="15" spans="1:7" x14ac:dyDescent="0.2">
      <c r="A15" s="18" t="s">
        <v>67</v>
      </c>
    </row>
    <row r="16" spans="1:7" ht="30" x14ac:dyDescent="0.2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28</v>
      </c>
    </row>
    <row r="17" spans="1:6" x14ac:dyDescent="0.2">
      <c r="A17" s="2" t="s">
        <v>58</v>
      </c>
      <c r="B17" s="17">
        <f>SUMPRODUCT($B$3:$B$6,C3:C6)</f>
        <v>11000</v>
      </c>
      <c r="C17" s="17">
        <f>B9+B10</f>
        <v>400</v>
      </c>
      <c r="D17" s="17">
        <f>B11+B12</f>
        <v>900</v>
      </c>
      <c r="E17" s="17">
        <f>(B17+C17+D17)*$B$13</f>
        <v>1230</v>
      </c>
      <c r="F17" s="17">
        <f>B17+C17+D17+E17</f>
        <v>13530</v>
      </c>
    </row>
    <row r="18" spans="1:6" x14ac:dyDescent="0.2">
      <c r="A18" s="2" t="s">
        <v>59</v>
      </c>
      <c r="B18" s="17">
        <f>SUMPRODUCT($B$3:$B$6,D3:D6)</f>
        <v>12800</v>
      </c>
      <c r="C18" s="17">
        <f>B9+B10</f>
        <v>400</v>
      </c>
      <c r="D18" s="20">
        <v>0</v>
      </c>
      <c r="E18" s="17">
        <f>(B18+C18+D18)*$B$13</f>
        <v>1320</v>
      </c>
      <c r="F18" s="17">
        <f>B18+C18+D18+E18</f>
        <v>14520</v>
      </c>
    </row>
    <row r="19" spans="1:6" x14ac:dyDescent="0.2">
      <c r="A19" s="2" t="s">
        <v>60</v>
      </c>
      <c r="B19" s="17">
        <f>SUMPRODUCT($B$3:$B$6,E3:E6)</f>
        <v>12600</v>
      </c>
      <c r="C19" s="17">
        <f>B9+B10</f>
        <v>400</v>
      </c>
      <c r="D19" s="20">
        <v>0</v>
      </c>
      <c r="E19" s="17">
        <f>(B19+C19+D19)*$B$13</f>
        <v>1300</v>
      </c>
      <c r="F19" s="17">
        <f>B19+C19+D19+E19</f>
        <v>14300</v>
      </c>
    </row>
    <row r="20" spans="1:6" x14ac:dyDescent="0.2">
      <c r="A20" s="2" t="s">
        <v>61</v>
      </c>
      <c r="B20" s="17">
        <f>SUMPRODUCT($B$3:$B$6,F3:F6)</f>
        <v>10000</v>
      </c>
      <c r="C20" s="17">
        <f>B9+B10</f>
        <v>400</v>
      </c>
      <c r="D20" s="20">
        <v>0</v>
      </c>
      <c r="E20" s="17">
        <f>(B20+C20+D20)*$B$13</f>
        <v>1040</v>
      </c>
      <c r="F20" s="17">
        <f>B20+C20+D20+E20</f>
        <v>11440</v>
      </c>
    </row>
    <row r="21" spans="1:6" x14ac:dyDescent="0.2">
      <c r="A21" s="7" t="s">
        <v>19</v>
      </c>
      <c r="B21" s="9">
        <f>SUM(B17:B20)</f>
        <v>46400</v>
      </c>
      <c r="C21" s="9">
        <f>SUM(C17:C20)</f>
        <v>1600</v>
      </c>
      <c r="D21" s="9">
        <f>SUM(D17:D20)</f>
        <v>900</v>
      </c>
      <c r="E21" s="9">
        <f>SUM(E17:E20)</f>
        <v>4890</v>
      </c>
      <c r="F21" s="9">
        <f>SUM(F17:F20)</f>
        <v>53790</v>
      </c>
    </row>
    <row r="23" spans="1:6" x14ac:dyDescent="0.2">
      <c r="A23" s="11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 Plan</vt:lpstr>
      <vt:lpstr>Cost Plan</vt:lpstr>
      <vt:lpstr>Cashflow (Monthly)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Chaudhry, Fatima Z</cp:lastModifiedBy>
  <cp:revision>0</cp:revision>
  <dcterms:created xsi:type="dcterms:W3CDTF">2026-10-09T03:34:29Z</dcterms:created>
  <dcterms:modified xsi:type="dcterms:W3CDTF">2026-10-09T03:36:16Z</dcterms:modified>
  <dc:language>en-US</dc:language>
</cp:coreProperties>
</file>